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dai\Desktop\"/>
    </mc:Choice>
  </mc:AlternateContent>
  <xr:revisionPtr revIDLastSave="0" documentId="13_ncr:1_{0AD24CBD-9439-496C-8891-6BC56BFB31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" sheetId="1" r:id="rId1"/>
    <sheet name="Issue Analysis" sheetId="3" r:id="rId2"/>
    <sheet name="Daily Volume" sheetId="4" r:id="rId3"/>
    <sheet name="Dashboard" sheetId="2" r:id="rId4"/>
  </sheets>
  <definedNames>
    <definedName name="Slicer_Priority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B5" i="2"/>
  <c r="B2" i="2"/>
  <c r="B8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B11" i="2" l="1"/>
</calcChain>
</file>

<file path=xl/sharedStrings.xml><?xml version="1.0" encoding="utf-8"?>
<sst xmlns="http://schemas.openxmlformats.org/spreadsheetml/2006/main" count="128" uniqueCount="67">
  <si>
    <t>Ticket ID</t>
  </si>
  <si>
    <t>User</t>
  </si>
  <si>
    <t>Issue Type</t>
  </si>
  <si>
    <t>Priority</t>
  </si>
  <si>
    <t>Status</t>
  </si>
  <si>
    <t>Date Opened</t>
  </si>
  <si>
    <t>Date Closed</t>
  </si>
  <si>
    <t>T001</t>
  </si>
  <si>
    <t>John Smith</t>
  </si>
  <si>
    <t>Login</t>
  </si>
  <si>
    <t>High</t>
  </si>
  <si>
    <t>Closed</t>
  </si>
  <si>
    <t>T002</t>
  </si>
  <si>
    <t>Ana Popescu</t>
  </si>
  <si>
    <t>Payment</t>
  </si>
  <si>
    <t>Medium</t>
  </si>
  <si>
    <t>T003</t>
  </si>
  <si>
    <t>Mike Brown</t>
  </si>
  <si>
    <t>Bug</t>
  </si>
  <si>
    <t>T004</t>
  </si>
  <si>
    <t>Emma Wilson</t>
  </si>
  <si>
    <t>Low</t>
  </si>
  <si>
    <t>T005</t>
  </si>
  <si>
    <t>David Lee</t>
  </si>
  <si>
    <t>Account</t>
  </si>
  <si>
    <t>Open</t>
  </si>
  <si>
    <t>T006</t>
  </si>
  <si>
    <t>Sarah Jones</t>
  </si>
  <si>
    <t>T007</t>
  </si>
  <si>
    <t>Alex Martin</t>
  </si>
  <si>
    <t>T008</t>
  </si>
  <si>
    <t>Irina Ionescu</t>
  </si>
  <si>
    <t>T009</t>
  </si>
  <si>
    <t>Chris White</t>
  </si>
  <si>
    <t>T010</t>
  </si>
  <si>
    <t>Maria Stan</t>
  </si>
  <si>
    <t>T011</t>
  </si>
  <si>
    <t>James Clark</t>
  </si>
  <si>
    <t>T012</t>
  </si>
  <si>
    <t>Laura Green</t>
  </si>
  <si>
    <t>T013</t>
  </si>
  <si>
    <t>Andrei Pop</t>
  </si>
  <si>
    <t>T014</t>
  </si>
  <si>
    <t>Sophie Hall</t>
  </si>
  <si>
    <t>T015</t>
  </si>
  <si>
    <t>Robert King</t>
  </si>
  <si>
    <t>T016</t>
  </si>
  <si>
    <t>Elena Matei</t>
  </si>
  <si>
    <t>T017</t>
  </si>
  <si>
    <t>George Adams</t>
  </si>
  <si>
    <t>T018</t>
  </si>
  <si>
    <t>Olivia Scott</t>
  </si>
  <si>
    <t>T019</t>
  </si>
  <si>
    <t>Daniel Young</t>
  </si>
  <si>
    <t>T020</t>
  </si>
  <si>
    <t>Bianca Pavel</t>
  </si>
  <si>
    <t>Resolution Days</t>
  </si>
  <si>
    <t>A2  Total Tickets</t>
  </si>
  <si>
    <t>A5  Open Tickets</t>
  </si>
  <si>
    <t>A8  Closed Tickets</t>
  </si>
  <si>
    <t>A11 Avg Resolution Time</t>
  </si>
  <si>
    <t>Contor de Ticket ID</t>
  </si>
  <si>
    <t>Etichete de rânduri</t>
  </si>
  <si>
    <t>Total general</t>
  </si>
  <si>
    <t>Etichete de coloane</t>
  </si>
  <si>
    <t>SLA Status</t>
  </si>
  <si>
    <t>SLA Breaches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</si>
</sst>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ldin"/>
    </font>
    <font>
      <sz val="20"/>
      <color theme="1"/>
      <name val="Aldin"/>
    </font>
    <font>
      <b/>
      <sz val="12"/>
      <color theme="1"/>
      <name val="Aldin"/>
    </font>
    <font>
      <sz val="20"/>
      <color theme="1"/>
      <name val="Calibri"/>
      <family val="2"/>
      <scheme val="minor"/>
    </font>
    <font>
      <b/>
      <sz val="11"/>
      <color theme="1"/>
      <name val="Aldin(B)"/>
    </font>
    <font>
      <sz val="20"/>
      <color theme="1"/>
      <name val="Albin"/>
    </font>
    <font>
      <b/>
      <sz val="12"/>
      <color theme="1"/>
      <name val="Albin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4" fillId="2" borderId="1" xfId="0" applyFont="1" applyFill="1" applyBorder="1" applyAlignment="1">
      <alignment horizontal="center" wrapText="1"/>
    </xf>
    <xf numFmtId="0" fontId="3" fillId="2" borderId="2" xfId="0" quotePrefix="1" applyNumberFormat="1" applyFont="1" applyFill="1" applyBorder="1"/>
    <xf numFmtId="0" fontId="6" fillId="3" borderId="1" xfId="0" applyFont="1" applyFill="1" applyBorder="1" applyAlignment="1">
      <alignment horizontal="center" wrapText="1"/>
    </xf>
    <xf numFmtId="0" fontId="5" fillId="3" borderId="2" xfId="0" applyFont="1" applyFill="1" applyBorder="1"/>
    <xf numFmtId="0" fontId="2" fillId="4" borderId="1" xfId="0" applyFont="1" applyFill="1" applyBorder="1" applyAlignment="1">
      <alignment horizontal="center" wrapText="1"/>
    </xf>
    <xf numFmtId="0" fontId="5" fillId="4" borderId="2" xfId="0" applyFont="1" applyFill="1" applyBorder="1"/>
    <xf numFmtId="0" fontId="2" fillId="5" borderId="1" xfId="0" applyFont="1" applyFill="1" applyBorder="1" applyAlignment="1">
      <alignment horizontal="center" wrapText="1"/>
    </xf>
    <xf numFmtId="0" fontId="5" fillId="5" borderId="2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  <xf numFmtId="0" fontId="7" fillId="3" borderId="2" xfId="0" applyFont="1" applyFill="1" applyBorder="1"/>
    <xf numFmtId="0" fontId="8" fillId="3" borderId="1" xfId="0" applyFont="1" applyFill="1" applyBorder="1"/>
  </cellXfs>
  <cellStyles count="1">
    <cellStyle name="Normal" xfId="0" builtinId="0"/>
  </cellStyles>
  <dxfs count="7"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numFmt numFmtId="0" formatCode="General"/>
    </dxf>
    <dxf>
      <numFmt numFmtId="169" formatCode="dd/mm/yyyy;@"/>
    </dxf>
    <dxf>
      <numFmt numFmtId="169" formatCode="dd/mm/yy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[proiect excel 2026.xlsx]Issue 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'Issue Analysis'!$B$3:$B$4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'Issue Analysis'!$A$5:$A$9</c:f>
              <c:strCache>
                <c:ptCount val="4"/>
                <c:pt idx="0">
                  <c:v>Account</c:v>
                </c:pt>
                <c:pt idx="1">
                  <c:v>Bug</c:v>
                </c:pt>
                <c:pt idx="2">
                  <c:v>Login</c:v>
                </c:pt>
                <c:pt idx="3">
                  <c:v>Payment</c:v>
                </c:pt>
              </c:strCache>
            </c:strRef>
          </c:cat>
          <c:val>
            <c:numRef>
              <c:f>'Issue Analysis'!$B$5:$B$9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9-4465-B778-553BAA07C72B}"/>
            </c:ext>
          </c:extLst>
        </c:ser>
        <c:ser>
          <c:idx val="1"/>
          <c:order val="1"/>
          <c:tx>
            <c:strRef>
              <c:f>'Issue Analysis'!$C$3:$C$4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'Issue Analysis'!$A$5:$A$9</c:f>
              <c:strCache>
                <c:ptCount val="4"/>
                <c:pt idx="0">
                  <c:v>Account</c:v>
                </c:pt>
                <c:pt idx="1">
                  <c:v>Bug</c:v>
                </c:pt>
                <c:pt idx="2">
                  <c:v>Login</c:v>
                </c:pt>
                <c:pt idx="3">
                  <c:v>Payment</c:v>
                </c:pt>
              </c:strCache>
            </c:strRef>
          </c:cat>
          <c:val>
            <c:numRef>
              <c:f>'Issue Analysis'!$C$5:$C$9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89-4465-B778-553BAA07C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983456"/>
        <c:axId val="1540985376"/>
      </c:barChart>
      <c:catAx>
        <c:axId val="154098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985376"/>
        <c:crosses val="autoZero"/>
        <c:auto val="1"/>
        <c:lblAlgn val="ctr"/>
        <c:lblOffset val="100"/>
        <c:noMultiLvlLbl val="0"/>
      </c:catAx>
      <c:valAx>
        <c:axId val="15409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98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[proiect excel 2026.xlsx]Daily Volume!PivotTable2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 Opened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Volume'!$B$3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Volume'!$A$4:$A$14</c:f>
              <c:strCache>
                <c:ptCount val="10"/>
                <c:pt idx="0">
                  <c:v>01/06/2026</c:v>
                </c:pt>
                <c:pt idx="1">
                  <c:v>02/06/2026</c:v>
                </c:pt>
                <c:pt idx="2">
                  <c:v>03/06/2026</c:v>
                </c:pt>
                <c:pt idx="3">
                  <c:v>04/06/2026</c:v>
                </c:pt>
                <c:pt idx="4">
                  <c:v>05/06/2026</c:v>
                </c:pt>
                <c:pt idx="5">
                  <c:v>06/06/2026</c:v>
                </c:pt>
                <c:pt idx="6">
                  <c:v>07/06/2026</c:v>
                </c:pt>
                <c:pt idx="7">
                  <c:v>08/06/2026</c:v>
                </c:pt>
                <c:pt idx="8">
                  <c:v>09/06/2026</c:v>
                </c:pt>
                <c:pt idx="9">
                  <c:v>10/06/2026</c:v>
                </c:pt>
              </c:strCache>
            </c:strRef>
          </c:cat>
          <c:val>
            <c:numRef>
              <c:f>'Daily Volume'!$B$4:$B$14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9-4B44-ACC7-3995B62D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015456"/>
        <c:axId val="1826015936"/>
      </c:lineChart>
      <c:catAx>
        <c:axId val="182601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015936"/>
        <c:crosses val="autoZero"/>
        <c:auto val="1"/>
        <c:lblAlgn val="ctr"/>
        <c:lblOffset val="100"/>
        <c:noMultiLvlLbl val="0"/>
      </c:catAx>
      <c:valAx>
        <c:axId val="18260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01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</xdr:colOff>
      <xdr:row>2</xdr:row>
      <xdr:rowOff>7620</xdr:rowOff>
    </xdr:from>
    <xdr:to>
      <xdr:col>9</xdr:col>
      <xdr:colOff>7620</xdr:colOff>
      <xdr:row>15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riority">
              <a:extLst>
                <a:ext uri="{FF2B5EF4-FFF2-40B4-BE49-F238E27FC236}">
                  <a16:creationId xmlns:a16="http://schemas.microsoft.com/office/drawing/2014/main" id="{863B9A16-D333-8555-F9F9-15F7855627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5400" y="3733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Această formă reprezintă un slicer. Slicerele sunt acceptate în Excel 2010 sau versiuni mai recente.
Dacă forma a fost modificată într-o versiune anterioară de Excel sau dacă registrul de lucru a fost salvat în Excel 2003 sau o versiune anterioară, slicerul nu va putea fi utilizat.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5</xdr:col>
      <xdr:colOff>228600</xdr:colOff>
      <xdr:row>29</xdr:row>
      <xdr:rowOff>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E3ADAA24-C684-412B-A1EB-5B5E4D835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14</xdr:col>
      <xdr:colOff>304800</xdr:colOff>
      <xdr:row>29</xdr:row>
      <xdr:rowOff>0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3722721A-6CEC-4378-9BA8-A96B60DAC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alina Teodorescu" refreshedDate="46192.596129282407" createdVersion="8" refreshedVersion="8" minRefreshableVersion="3" recordCount="20" xr:uid="{9372D9D7-E68D-4BF0-A10D-25E94C641892}">
  <cacheSource type="worksheet">
    <worksheetSource name="Tabel1"/>
  </cacheSource>
  <cacheFields count="8">
    <cacheField name="Ticket ID" numFmtId="0">
      <sharedItems/>
    </cacheField>
    <cacheField name="User" numFmtId="0">
      <sharedItems/>
    </cacheField>
    <cacheField name="Issue Type" numFmtId="0">
      <sharedItems count="4">
        <s v="Login"/>
        <s v="Payment"/>
        <s v="Bug"/>
        <s v="Account"/>
      </sharedItems>
    </cacheField>
    <cacheField name="Priority" numFmtId="0">
      <sharedItems count="3">
        <s v="High"/>
        <s v="Medium"/>
        <s v="Low"/>
      </sharedItems>
    </cacheField>
    <cacheField name="Status" numFmtId="0">
      <sharedItems count="2">
        <s v="Closed"/>
        <s v="Open"/>
      </sharedItems>
    </cacheField>
    <cacheField name="Date Opened" numFmtId="169">
      <sharedItems containsSemiMixedTypes="0" containsNonDate="0" containsDate="1" containsString="0" minDate="2026-06-01T00:00:00" maxDate="2026-06-11T00:00:00" count="1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</sharedItems>
    </cacheField>
    <cacheField name="Date Closed" numFmtId="169">
      <sharedItems containsNonDate="0" containsDate="1" containsString="0" containsBlank="1" minDate="2026-06-01T00:00:00" maxDate="2026-06-13T00:00:00"/>
    </cacheField>
    <cacheField name="Resolution Days" numFmtId="0">
      <sharedItems containsMixedTypes="1" containsNumber="1" containsInteger="1" minValue="0" maxValue="3"/>
    </cacheField>
  </cacheFields>
  <extLst>
    <ext xmlns:x14="http://schemas.microsoft.com/office/spreadsheetml/2009/9/main" uri="{725AE2AE-9491-48be-B2B4-4EB974FC3084}">
      <x14:pivotCacheDefinition pivotCacheId="5883444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T001"/>
    <s v="John Smith"/>
    <x v="0"/>
    <x v="0"/>
    <x v="0"/>
    <x v="0"/>
    <d v="2026-06-01T00:00:00"/>
    <n v="0"/>
  </r>
  <r>
    <s v="T002"/>
    <s v="Ana Popescu"/>
    <x v="1"/>
    <x v="1"/>
    <x v="0"/>
    <x v="0"/>
    <d v="2026-06-02T00:00:00"/>
    <n v="1"/>
  </r>
  <r>
    <s v="T003"/>
    <s v="Mike Brown"/>
    <x v="2"/>
    <x v="0"/>
    <x v="0"/>
    <x v="1"/>
    <d v="2026-06-04T00:00:00"/>
    <n v="2"/>
  </r>
  <r>
    <s v="T004"/>
    <s v="Emma Wilson"/>
    <x v="0"/>
    <x v="2"/>
    <x v="0"/>
    <x v="1"/>
    <d v="2026-06-02T00:00:00"/>
    <n v="0"/>
  </r>
  <r>
    <s v="T005"/>
    <s v="David Lee"/>
    <x v="3"/>
    <x v="1"/>
    <x v="1"/>
    <x v="2"/>
    <m/>
    <s v=""/>
  </r>
  <r>
    <s v="T006"/>
    <s v="Sarah Jones"/>
    <x v="1"/>
    <x v="0"/>
    <x v="0"/>
    <x v="2"/>
    <d v="2026-06-05T00:00:00"/>
    <n v="2"/>
  </r>
  <r>
    <s v="T007"/>
    <s v="Alex Martin"/>
    <x v="2"/>
    <x v="1"/>
    <x v="0"/>
    <x v="3"/>
    <d v="2026-06-06T00:00:00"/>
    <n v="2"/>
  </r>
  <r>
    <s v="T008"/>
    <s v="Irina Ionescu"/>
    <x v="0"/>
    <x v="2"/>
    <x v="0"/>
    <x v="3"/>
    <d v="2026-06-04T00:00:00"/>
    <n v="0"/>
  </r>
  <r>
    <s v="T009"/>
    <s v="Chris White"/>
    <x v="3"/>
    <x v="1"/>
    <x v="0"/>
    <x v="4"/>
    <d v="2026-06-07T00:00:00"/>
    <n v="2"/>
  </r>
  <r>
    <s v="T010"/>
    <s v="Maria Stan"/>
    <x v="1"/>
    <x v="0"/>
    <x v="1"/>
    <x v="4"/>
    <m/>
    <s v=""/>
  </r>
  <r>
    <s v="T011"/>
    <s v="James Clark"/>
    <x v="2"/>
    <x v="0"/>
    <x v="0"/>
    <x v="5"/>
    <d v="2026-06-09T00:00:00"/>
    <n v="3"/>
  </r>
  <r>
    <s v="T012"/>
    <s v="Laura Green"/>
    <x v="0"/>
    <x v="2"/>
    <x v="0"/>
    <x v="5"/>
    <d v="2026-06-06T00:00:00"/>
    <n v="0"/>
  </r>
  <r>
    <s v="T013"/>
    <s v="Andrei Pop"/>
    <x v="3"/>
    <x v="1"/>
    <x v="0"/>
    <x v="6"/>
    <d v="2026-06-08T00:00:00"/>
    <n v="1"/>
  </r>
  <r>
    <s v="T014"/>
    <s v="Sophie Hall"/>
    <x v="1"/>
    <x v="0"/>
    <x v="0"/>
    <x v="6"/>
    <d v="2026-06-10T00:00:00"/>
    <n v="3"/>
  </r>
  <r>
    <s v="T015"/>
    <s v="Robert King"/>
    <x v="2"/>
    <x v="1"/>
    <x v="1"/>
    <x v="7"/>
    <m/>
    <s v=""/>
  </r>
  <r>
    <s v="T016"/>
    <s v="Elena Matei"/>
    <x v="0"/>
    <x v="2"/>
    <x v="0"/>
    <x v="7"/>
    <d v="2026-06-08T00:00:00"/>
    <n v="0"/>
  </r>
  <r>
    <s v="T017"/>
    <s v="George Adams"/>
    <x v="3"/>
    <x v="1"/>
    <x v="0"/>
    <x v="8"/>
    <d v="2026-06-10T00:00:00"/>
    <n v="1"/>
  </r>
  <r>
    <s v="T018"/>
    <s v="Olivia Scott"/>
    <x v="1"/>
    <x v="0"/>
    <x v="0"/>
    <x v="8"/>
    <d v="2026-06-11T00:00:00"/>
    <n v="2"/>
  </r>
  <r>
    <s v="T019"/>
    <s v="Daniel Young"/>
    <x v="2"/>
    <x v="1"/>
    <x v="0"/>
    <x v="9"/>
    <d v="2026-06-12T00:00:00"/>
    <n v="2"/>
  </r>
  <r>
    <s v="T020"/>
    <s v="Bianca Pavel"/>
    <x v="0"/>
    <x v="2"/>
    <x v="0"/>
    <x v="9"/>
    <d v="2026-06-10T00:00: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5AB37-9B2E-4BEA-A041-562EE228795E}" name="PivotTable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3:D9" firstHeaderRow="1" firstDataRow="2" firstDataCol="1"/>
  <pivotFields count="8">
    <pivotField dataField="1"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numFmtId="169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ntor de Ticket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B0749-ACE0-4FE5-9AB8-FD7C6A7F0B3A}" name="PivotTable2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8">
    <pivotField dataField="1" showAll="0"/>
    <pivotField showAll="0"/>
    <pivotField showAll="0"/>
    <pivotField showAll="0"/>
    <pivotField showAll="0"/>
    <pivotField axis="axisRow" numFmtId="169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or de Ticke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iority" xr10:uid="{87DFF47D-5189-40B0-8127-E5B23424AC1B}" sourceName="Priority">
  <pivotTables>
    <pivotTable tabId="3" name="PivotTable1"/>
  </pivotTables>
  <data>
    <tabular pivotCacheId="588344420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iority" xr10:uid="{96C55043-46FD-45AA-9847-972B99147AA9}" cache="Slicer_Priority" caption="Priority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C384C-5583-4D12-A836-D4B5D12D9401}" name="Tabel1" displayName="Tabel1" ref="A1:I21" totalsRowShown="0">
  <autoFilter ref="A1:I21" xr:uid="{9CAC384C-5583-4D12-A836-D4B5D12D9401}"/>
  <tableColumns count="9">
    <tableColumn id="1" xr3:uid="{A5B948EC-E4F7-4E6B-8B4A-6BC64FF98EC6}" name="Ticket ID"/>
    <tableColumn id="2" xr3:uid="{89060C61-A57A-4098-BF62-B3BDD7859C50}" name="User"/>
    <tableColumn id="3" xr3:uid="{03DB4F2E-6B6F-4399-9DDD-8D990683C12A}" name="Issue Type"/>
    <tableColumn id="4" xr3:uid="{7C76AFB7-F8A0-4610-AAD3-88A983A959C4}" name="Priority"/>
    <tableColumn id="5" xr3:uid="{09DDC442-7567-4B80-8E78-FE0D08BFCE20}" name="Status"/>
    <tableColumn id="6" xr3:uid="{F745BA4D-B834-4E93-AD74-C5BE110EF856}" name="Date Opened" dataDxfId="5"/>
    <tableColumn id="7" xr3:uid="{5E12BB54-B608-4EDF-A539-3F6A6CE3557C}" name="Date Closed" dataDxfId="4"/>
    <tableColumn id="8" xr3:uid="{E5D108A0-734A-4760-9294-97BE7079EA05}" name="Resolution Days" dataDxfId="6">
      <calculatedColumnFormula>IF(Tabel1[[#This Row],[Status]]="Closed",Tabel1[[#This Row],[Date Closed]]-Tabel1[[#This Row],[Date Opened]],"")</calculatedColumnFormula>
    </tableColumn>
    <tableColumn id="9" xr3:uid="{BD74E165-329D-4D01-988F-0FF8E668B8AD}" name="SLA Status" dataDxfId="3">
      <calculatedColumnFormula>IF(Tabel1[[#This Row],[Resolution Days]]&gt;3,"Breached","Within SLA")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K20" sqref="K20"/>
    </sheetView>
  </sheetViews>
  <sheetFormatPr defaultRowHeight="14.4"/>
  <cols>
    <col min="1" max="1" width="10.109375" customWidth="1"/>
    <col min="2" max="2" width="13.21875" customWidth="1"/>
    <col min="3" max="3" width="13.33203125" customWidth="1"/>
    <col min="4" max="4" width="10.5546875" customWidth="1"/>
    <col min="5" max="5" width="9.44140625" customWidth="1"/>
    <col min="6" max="6" width="14.6640625" style="2" customWidth="1"/>
    <col min="7" max="7" width="14.21875" style="2" customWidth="1"/>
    <col min="8" max="8" width="17" customWidth="1"/>
    <col min="9" max="9" width="14.21875" customWidth="1"/>
    <col min="11" max="11" width="11.21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56</v>
      </c>
      <c r="I1" t="s">
        <v>65</v>
      </c>
    </row>
    <row r="2" spans="1:11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46174</v>
      </c>
      <c r="G2" s="2">
        <v>46174</v>
      </c>
      <c r="H2">
        <f>IF(Tabel1[[#This Row],[Status]]="Closed",Tabel1[[#This Row],[Date Closed]]-Tabel1[[#This Row],[Date Opened]],"")</f>
        <v>0</v>
      </c>
      <c r="I2" t="str">
        <f>IF(Tabel1[[#This Row],[Resolution Days]]&gt;3,"Breached","Within SLA")</f>
        <v>Within SLA</v>
      </c>
    </row>
    <row r="3" spans="1:11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2">
        <v>46174</v>
      </c>
      <c r="G3" s="2">
        <v>46175</v>
      </c>
      <c r="H3">
        <f>IF(Tabel1[[#This Row],[Status]]="Closed",Tabel1[[#This Row],[Date Closed]]-Tabel1[[#This Row],[Date Opened]],"")</f>
        <v>1</v>
      </c>
      <c r="I3" t="str">
        <f>IF(Tabel1[[#This Row],[Resolution Days]]&gt;3,"Breached","Within SLA")</f>
        <v>Within SLA</v>
      </c>
    </row>
    <row r="4" spans="1:11">
      <c r="A4" t="s">
        <v>16</v>
      </c>
      <c r="B4" t="s">
        <v>17</v>
      </c>
      <c r="C4" t="s">
        <v>18</v>
      </c>
      <c r="D4" t="s">
        <v>10</v>
      </c>
      <c r="E4" t="s">
        <v>11</v>
      </c>
      <c r="F4" s="2">
        <v>46175</v>
      </c>
      <c r="G4" s="2">
        <v>46177</v>
      </c>
      <c r="H4">
        <f>IF(Tabel1[[#This Row],[Status]]="Closed",Tabel1[[#This Row],[Date Closed]]-Tabel1[[#This Row],[Date Opened]],"")</f>
        <v>2</v>
      </c>
      <c r="I4" t="str">
        <f>IF(Tabel1[[#This Row],[Resolution Days]]&gt;3,"Breached","Within SLA")</f>
        <v>Within SLA</v>
      </c>
      <c r="K4" s="1"/>
    </row>
    <row r="5" spans="1:11">
      <c r="A5" t="s">
        <v>19</v>
      </c>
      <c r="B5" t="s">
        <v>20</v>
      </c>
      <c r="C5" t="s">
        <v>9</v>
      </c>
      <c r="D5" t="s">
        <v>21</v>
      </c>
      <c r="E5" t="s">
        <v>11</v>
      </c>
      <c r="F5" s="2">
        <v>46175</v>
      </c>
      <c r="G5" s="2">
        <v>46175</v>
      </c>
      <c r="H5">
        <f>IF(Tabel1[[#This Row],[Status]]="Closed",Tabel1[[#This Row],[Date Closed]]-Tabel1[[#This Row],[Date Opened]],"")</f>
        <v>0</v>
      </c>
      <c r="I5" t="str">
        <f>IF(Tabel1[[#This Row],[Resolution Days]]&gt;3,"Breached","Within SLA")</f>
        <v>Within SLA</v>
      </c>
    </row>
    <row r="6" spans="1:11">
      <c r="A6" t="s">
        <v>22</v>
      </c>
      <c r="B6" t="s">
        <v>23</v>
      </c>
      <c r="C6" t="s">
        <v>24</v>
      </c>
      <c r="D6" t="s">
        <v>15</v>
      </c>
      <c r="E6" t="s">
        <v>25</v>
      </c>
      <c r="F6" s="2">
        <v>46176</v>
      </c>
      <c r="H6" t="str">
        <f>IF(Tabel1[[#This Row],[Status]]="Closed",Tabel1[[#This Row],[Date Closed]]-Tabel1[[#This Row],[Date Opened]],"")</f>
        <v/>
      </c>
      <c r="I6" t="str">
        <f>IF(Tabel1[[#This Row],[Resolution Days]]&gt;3,"Breached","Within SLA")</f>
        <v>Breached</v>
      </c>
    </row>
    <row r="7" spans="1:11">
      <c r="A7" t="s">
        <v>26</v>
      </c>
      <c r="B7" t="s">
        <v>27</v>
      </c>
      <c r="C7" t="s">
        <v>14</v>
      </c>
      <c r="D7" t="s">
        <v>10</v>
      </c>
      <c r="E7" t="s">
        <v>11</v>
      </c>
      <c r="F7" s="2">
        <v>46176</v>
      </c>
      <c r="G7" s="2">
        <v>46178</v>
      </c>
      <c r="H7">
        <f>IF(Tabel1[[#This Row],[Status]]="Closed",Tabel1[[#This Row],[Date Closed]]-Tabel1[[#This Row],[Date Opened]],"")</f>
        <v>2</v>
      </c>
      <c r="I7" t="str">
        <f>IF(Tabel1[[#This Row],[Resolution Days]]&gt;3,"Breached","Within SLA")</f>
        <v>Within SLA</v>
      </c>
    </row>
    <row r="8" spans="1:11">
      <c r="A8" t="s">
        <v>28</v>
      </c>
      <c r="B8" t="s">
        <v>29</v>
      </c>
      <c r="C8" t="s">
        <v>18</v>
      </c>
      <c r="D8" t="s">
        <v>15</v>
      </c>
      <c r="E8" t="s">
        <v>11</v>
      </c>
      <c r="F8" s="2">
        <v>46177</v>
      </c>
      <c r="G8" s="2">
        <v>46179</v>
      </c>
      <c r="H8">
        <f>IF(Tabel1[[#This Row],[Status]]="Closed",Tabel1[[#This Row],[Date Closed]]-Tabel1[[#This Row],[Date Opened]],"")</f>
        <v>2</v>
      </c>
      <c r="I8" t="str">
        <f>IF(Tabel1[[#This Row],[Resolution Days]]&gt;3,"Breached","Within SLA")</f>
        <v>Within SLA</v>
      </c>
    </row>
    <row r="9" spans="1:11">
      <c r="A9" t="s">
        <v>30</v>
      </c>
      <c r="B9" t="s">
        <v>31</v>
      </c>
      <c r="C9" t="s">
        <v>9</v>
      </c>
      <c r="D9" t="s">
        <v>21</v>
      </c>
      <c r="E9" t="s">
        <v>11</v>
      </c>
      <c r="F9" s="2">
        <v>46177</v>
      </c>
      <c r="G9" s="2">
        <v>46177</v>
      </c>
      <c r="H9">
        <f>IF(Tabel1[[#This Row],[Status]]="Closed",Tabel1[[#This Row],[Date Closed]]-Tabel1[[#This Row],[Date Opened]],"")</f>
        <v>0</v>
      </c>
      <c r="I9" t="str">
        <f>IF(Tabel1[[#This Row],[Resolution Days]]&gt;3,"Breached","Within SLA")</f>
        <v>Within SLA</v>
      </c>
    </row>
    <row r="10" spans="1:11">
      <c r="A10" t="s">
        <v>32</v>
      </c>
      <c r="B10" t="s">
        <v>33</v>
      </c>
      <c r="C10" t="s">
        <v>24</v>
      </c>
      <c r="D10" t="s">
        <v>15</v>
      </c>
      <c r="E10" t="s">
        <v>11</v>
      </c>
      <c r="F10" s="2">
        <v>46178</v>
      </c>
      <c r="G10" s="2">
        <v>46180</v>
      </c>
      <c r="H10">
        <f>IF(Tabel1[[#This Row],[Status]]="Closed",Tabel1[[#This Row],[Date Closed]]-Tabel1[[#This Row],[Date Opened]],"")</f>
        <v>2</v>
      </c>
      <c r="I10" t="str">
        <f>IF(Tabel1[[#This Row],[Resolution Days]]&gt;3,"Breached","Within SLA")</f>
        <v>Within SLA</v>
      </c>
    </row>
    <row r="11" spans="1:11">
      <c r="A11" t="s">
        <v>34</v>
      </c>
      <c r="B11" t="s">
        <v>35</v>
      </c>
      <c r="C11" t="s">
        <v>14</v>
      </c>
      <c r="D11" t="s">
        <v>10</v>
      </c>
      <c r="E11" t="s">
        <v>25</v>
      </c>
      <c r="F11" s="2">
        <v>46178</v>
      </c>
      <c r="H11" t="str">
        <f>IF(Tabel1[[#This Row],[Status]]="Closed",Tabel1[[#This Row],[Date Closed]]-Tabel1[[#This Row],[Date Opened]],"")</f>
        <v/>
      </c>
      <c r="I11" t="str">
        <f>IF(Tabel1[[#This Row],[Resolution Days]]&gt;3,"Breached","Within SLA")</f>
        <v>Breached</v>
      </c>
    </row>
    <row r="12" spans="1:11">
      <c r="A12" t="s">
        <v>36</v>
      </c>
      <c r="B12" t="s">
        <v>37</v>
      </c>
      <c r="C12" t="s">
        <v>18</v>
      </c>
      <c r="D12" t="s">
        <v>10</v>
      </c>
      <c r="E12" t="s">
        <v>11</v>
      </c>
      <c r="F12" s="2">
        <v>46179</v>
      </c>
      <c r="G12" s="2">
        <v>46182</v>
      </c>
      <c r="H12">
        <f>IF(Tabel1[[#This Row],[Status]]="Closed",Tabel1[[#This Row],[Date Closed]]-Tabel1[[#This Row],[Date Opened]],"")</f>
        <v>3</v>
      </c>
      <c r="I12" t="str">
        <f>IF(Tabel1[[#This Row],[Resolution Days]]&gt;3,"Breached","Within SLA")</f>
        <v>Within SLA</v>
      </c>
    </row>
    <row r="13" spans="1:11">
      <c r="A13" t="s">
        <v>38</v>
      </c>
      <c r="B13" t="s">
        <v>39</v>
      </c>
      <c r="C13" t="s">
        <v>9</v>
      </c>
      <c r="D13" t="s">
        <v>21</v>
      </c>
      <c r="E13" t="s">
        <v>11</v>
      </c>
      <c r="F13" s="2">
        <v>46179</v>
      </c>
      <c r="G13" s="2">
        <v>46179</v>
      </c>
      <c r="H13">
        <f>IF(Tabel1[[#This Row],[Status]]="Closed",Tabel1[[#This Row],[Date Closed]]-Tabel1[[#This Row],[Date Opened]],"")</f>
        <v>0</v>
      </c>
      <c r="I13" t="str">
        <f>IF(Tabel1[[#This Row],[Resolution Days]]&gt;3,"Breached","Within SLA")</f>
        <v>Within SLA</v>
      </c>
    </row>
    <row r="14" spans="1:11">
      <c r="A14" t="s">
        <v>40</v>
      </c>
      <c r="B14" t="s">
        <v>41</v>
      </c>
      <c r="C14" t="s">
        <v>24</v>
      </c>
      <c r="D14" t="s">
        <v>15</v>
      </c>
      <c r="E14" t="s">
        <v>11</v>
      </c>
      <c r="F14" s="2">
        <v>46180</v>
      </c>
      <c r="G14" s="2">
        <v>46181</v>
      </c>
      <c r="H14">
        <f>IF(Tabel1[[#This Row],[Status]]="Closed",Tabel1[[#This Row],[Date Closed]]-Tabel1[[#This Row],[Date Opened]],"")</f>
        <v>1</v>
      </c>
      <c r="I14" t="str">
        <f>IF(Tabel1[[#This Row],[Resolution Days]]&gt;3,"Breached","Within SLA")</f>
        <v>Within SLA</v>
      </c>
    </row>
    <row r="15" spans="1:11">
      <c r="A15" t="s">
        <v>42</v>
      </c>
      <c r="B15" t="s">
        <v>43</v>
      </c>
      <c r="C15" t="s">
        <v>14</v>
      </c>
      <c r="D15" t="s">
        <v>10</v>
      </c>
      <c r="E15" t="s">
        <v>11</v>
      </c>
      <c r="F15" s="2">
        <v>46180</v>
      </c>
      <c r="G15" s="2">
        <v>46183</v>
      </c>
      <c r="H15">
        <f>IF(Tabel1[[#This Row],[Status]]="Closed",Tabel1[[#This Row],[Date Closed]]-Tabel1[[#This Row],[Date Opened]],"")</f>
        <v>3</v>
      </c>
      <c r="I15" t="str">
        <f>IF(Tabel1[[#This Row],[Resolution Days]]&gt;3,"Breached","Within SLA")</f>
        <v>Within SLA</v>
      </c>
    </row>
    <row r="16" spans="1:11">
      <c r="A16" t="s">
        <v>44</v>
      </c>
      <c r="B16" t="s">
        <v>45</v>
      </c>
      <c r="C16" t="s">
        <v>18</v>
      </c>
      <c r="D16" t="s">
        <v>15</v>
      </c>
      <c r="E16" t="s">
        <v>25</v>
      </c>
      <c r="F16" s="2">
        <v>46181</v>
      </c>
      <c r="H16" t="str">
        <f>IF(Tabel1[[#This Row],[Status]]="Closed",Tabel1[[#This Row],[Date Closed]]-Tabel1[[#This Row],[Date Opened]],"")</f>
        <v/>
      </c>
      <c r="I16" t="str">
        <f>IF(Tabel1[[#This Row],[Resolution Days]]&gt;3,"Breached","Within SLA")</f>
        <v>Breached</v>
      </c>
    </row>
    <row r="17" spans="1:9">
      <c r="A17" t="s">
        <v>46</v>
      </c>
      <c r="B17" t="s">
        <v>47</v>
      </c>
      <c r="C17" t="s">
        <v>9</v>
      </c>
      <c r="D17" t="s">
        <v>21</v>
      </c>
      <c r="E17" t="s">
        <v>11</v>
      </c>
      <c r="F17" s="2">
        <v>46181</v>
      </c>
      <c r="G17" s="2">
        <v>46181</v>
      </c>
      <c r="H17">
        <f>IF(Tabel1[[#This Row],[Status]]="Closed",Tabel1[[#This Row],[Date Closed]]-Tabel1[[#This Row],[Date Opened]],"")</f>
        <v>0</v>
      </c>
      <c r="I17" t="str">
        <f>IF(Tabel1[[#This Row],[Resolution Days]]&gt;3,"Breached","Within SLA")</f>
        <v>Within SLA</v>
      </c>
    </row>
    <row r="18" spans="1:9">
      <c r="A18" t="s">
        <v>48</v>
      </c>
      <c r="B18" t="s">
        <v>49</v>
      </c>
      <c r="C18" t="s">
        <v>24</v>
      </c>
      <c r="D18" t="s">
        <v>15</v>
      </c>
      <c r="E18" t="s">
        <v>11</v>
      </c>
      <c r="F18" s="2">
        <v>46182</v>
      </c>
      <c r="G18" s="2">
        <v>46183</v>
      </c>
      <c r="H18">
        <f>IF(Tabel1[[#This Row],[Status]]="Closed",Tabel1[[#This Row],[Date Closed]]-Tabel1[[#This Row],[Date Opened]],"")</f>
        <v>1</v>
      </c>
      <c r="I18" t="str">
        <f>IF(Tabel1[[#This Row],[Resolution Days]]&gt;3,"Breached","Within SLA")</f>
        <v>Within SLA</v>
      </c>
    </row>
    <row r="19" spans="1:9">
      <c r="A19" t="s">
        <v>50</v>
      </c>
      <c r="B19" t="s">
        <v>51</v>
      </c>
      <c r="C19" t="s">
        <v>14</v>
      </c>
      <c r="D19" t="s">
        <v>10</v>
      </c>
      <c r="E19" t="s">
        <v>11</v>
      </c>
      <c r="F19" s="2">
        <v>46182</v>
      </c>
      <c r="G19" s="2">
        <v>46184</v>
      </c>
      <c r="H19">
        <f>IF(Tabel1[[#This Row],[Status]]="Closed",Tabel1[[#This Row],[Date Closed]]-Tabel1[[#This Row],[Date Opened]],"")</f>
        <v>2</v>
      </c>
      <c r="I19" t="str">
        <f>IF(Tabel1[[#This Row],[Resolution Days]]&gt;3,"Breached","Within SLA")</f>
        <v>Within SLA</v>
      </c>
    </row>
    <row r="20" spans="1:9">
      <c r="A20" t="s">
        <v>52</v>
      </c>
      <c r="B20" t="s">
        <v>53</v>
      </c>
      <c r="C20" t="s">
        <v>18</v>
      </c>
      <c r="D20" t="s">
        <v>15</v>
      </c>
      <c r="E20" t="s">
        <v>11</v>
      </c>
      <c r="F20" s="2">
        <v>46183</v>
      </c>
      <c r="G20" s="2">
        <v>46185</v>
      </c>
      <c r="H20">
        <f>IF(Tabel1[[#This Row],[Status]]="Closed",Tabel1[[#This Row],[Date Closed]]-Tabel1[[#This Row],[Date Opened]],"")</f>
        <v>2</v>
      </c>
      <c r="I20" t="str">
        <f>IF(Tabel1[[#This Row],[Resolution Days]]&gt;3,"Breached","Within SLA")</f>
        <v>Within SLA</v>
      </c>
    </row>
    <row r="21" spans="1:9">
      <c r="A21" t="s">
        <v>54</v>
      </c>
      <c r="B21" t="s">
        <v>55</v>
      </c>
      <c r="C21" t="s">
        <v>9</v>
      </c>
      <c r="D21" t="s">
        <v>21</v>
      </c>
      <c r="E21" t="s">
        <v>11</v>
      </c>
      <c r="F21" s="2">
        <v>46183</v>
      </c>
      <c r="G21" s="2">
        <v>46183</v>
      </c>
      <c r="H21">
        <f>IF(Tabel1[[#This Row],[Status]]="Closed",Tabel1[[#This Row],[Date Closed]]-Tabel1[[#This Row],[Date Opened]],"")</f>
        <v>0</v>
      </c>
      <c r="I21" t="str">
        <f>IF(Tabel1[[#This Row],[Resolution Days]]&gt;3,"Breached","Within SLA")</f>
        <v>Within SLA</v>
      </c>
    </row>
  </sheetData>
  <conditionalFormatting sqref="I1:I1048576">
    <cfRule type="containsText" dxfId="2" priority="2" operator="containsText" text="Breached">
      <formula>NOT(ISERROR(SEARCH("Breached",I1)))</formula>
    </cfRule>
    <cfRule type="containsText" dxfId="1" priority="1" operator="containsText" text="Within SLA">
      <formula>NOT(ISERROR(SEARCH("Within SLA",I1)))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4BD7-7489-49A3-ACE5-0045D7E84059}">
  <dimension ref="A3:D9"/>
  <sheetViews>
    <sheetView workbookViewId="0">
      <selection activeCell="B6" sqref="B6"/>
    </sheetView>
  </sheetViews>
  <sheetFormatPr defaultRowHeight="14.4"/>
  <cols>
    <col min="1" max="1" width="19.21875" bestFit="1" customWidth="1"/>
    <col min="2" max="2" width="19.88671875" bestFit="1" customWidth="1"/>
    <col min="3" max="3" width="5.5546875" bestFit="1" customWidth="1"/>
    <col min="4" max="4" width="11.88671875" bestFit="1" customWidth="1"/>
  </cols>
  <sheetData>
    <row r="3" spans="1:4">
      <c r="A3" s="14" t="s">
        <v>61</v>
      </c>
      <c r="B3" s="14" t="s">
        <v>64</v>
      </c>
    </row>
    <row r="4" spans="1:4">
      <c r="A4" s="14" t="s">
        <v>62</v>
      </c>
      <c r="B4" t="s">
        <v>11</v>
      </c>
      <c r="C4" t="s">
        <v>25</v>
      </c>
      <c r="D4" t="s">
        <v>63</v>
      </c>
    </row>
    <row r="5" spans="1:4">
      <c r="A5" s="15" t="s">
        <v>24</v>
      </c>
      <c r="B5" s="13">
        <v>3</v>
      </c>
      <c r="C5" s="13">
        <v>1</v>
      </c>
      <c r="D5" s="13">
        <v>4</v>
      </c>
    </row>
    <row r="6" spans="1:4">
      <c r="A6" s="15" t="s">
        <v>18</v>
      </c>
      <c r="B6" s="13">
        <v>4</v>
      </c>
      <c r="C6" s="13">
        <v>1</v>
      </c>
      <c r="D6" s="13">
        <v>5</v>
      </c>
    </row>
    <row r="7" spans="1:4">
      <c r="A7" s="15" t="s">
        <v>9</v>
      </c>
      <c r="B7" s="13">
        <v>6</v>
      </c>
      <c r="C7" s="13"/>
      <c r="D7" s="13">
        <v>6</v>
      </c>
    </row>
    <row r="8" spans="1:4">
      <c r="A8" s="15" t="s">
        <v>14</v>
      </c>
      <c r="B8" s="13">
        <v>4</v>
      </c>
      <c r="C8" s="13">
        <v>1</v>
      </c>
      <c r="D8" s="13">
        <v>5</v>
      </c>
    </row>
    <row r="9" spans="1:4">
      <c r="A9" s="15" t="s">
        <v>63</v>
      </c>
      <c r="B9" s="13">
        <v>17</v>
      </c>
      <c r="C9" s="13">
        <v>3</v>
      </c>
      <c r="D9" s="13">
        <v>20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EC59-15FF-40F7-BAFF-56C28E43B810}">
  <dimension ref="A3:B14"/>
  <sheetViews>
    <sheetView workbookViewId="0">
      <selection activeCell="P17" sqref="P17"/>
    </sheetView>
  </sheetViews>
  <sheetFormatPr defaultRowHeight="14.4"/>
  <cols>
    <col min="1" max="1" width="19.21875" bestFit="1" customWidth="1"/>
    <col min="2" max="2" width="17.21875" bestFit="1" customWidth="1"/>
  </cols>
  <sheetData>
    <row r="3" spans="1:2">
      <c r="A3" s="14" t="s">
        <v>62</v>
      </c>
      <c r="B3" t="s">
        <v>61</v>
      </c>
    </row>
    <row r="4" spans="1:2">
      <c r="A4" s="16">
        <v>46174</v>
      </c>
      <c r="B4" s="13">
        <v>2</v>
      </c>
    </row>
    <row r="5" spans="1:2">
      <c r="A5" s="16">
        <v>46175</v>
      </c>
      <c r="B5" s="13">
        <v>2</v>
      </c>
    </row>
    <row r="6" spans="1:2">
      <c r="A6" s="16">
        <v>46176</v>
      </c>
      <c r="B6" s="13">
        <v>2</v>
      </c>
    </row>
    <row r="7" spans="1:2">
      <c r="A7" s="16">
        <v>46177</v>
      </c>
      <c r="B7" s="13">
        <v>2</v>
      </c>
    </row>
    <row r="8" spans="1:2">
      <c r="A8" s="16">
        <v>46178</v>
      </c>
      <c r="B8" s="13">
        <v>2</v>
      </c>
    </row>
    <row r="9" spans="1:2">
      <c r="A9" s="16">
        <v>46179</v>
      </c>
      <c r="B9" s="13">
        <v>2</v>
      </c>
    </row>
    <row r="10" spans="1:2">
      <c r="A10" s="16">
        <v>46180</v>
      </c>
      <c r="B10" s="13">
        <v>2</v>
      </c>
    </row>
    <row r="11" spans="1:2">
      <c r="A11" s="16">
        <v>46181</v>
      </c>
      <c r="B11" s="13">
        <v>2</v>
      </c>
    </row>
    <row r="12" spans="1:2">
      <c r="A12" s="16">
        <v>46182</v>
      </c>
      <c r="B12" s="13">
        <v>2</v>
      </c>
    </row>
    <row r="13" spans="1:2">
      <c r="A13" s="16">
        <v>46183</v>
      </c>
      <c r="B13" s="13">
        <v>2</v>
      </c>
    </row>
    <row r="14" spans="1:2">
      <c r="A14" s="16" t="s">
        <v>63</v>
      </c>
      <c r="B14" s="1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6564-390B-43DA-9364-48B3C3F0AA3C}">
  <dimension ref="A1:F11"/>
  <sheetViews>
    <sheetView workbookViewId="0">
      <selection activeCell="F5" sqref="F5"/>
    </sheetView>
  </sheetViews>
  <sheetFormatPr defaultRowHeight="14.4"/>
  <cols>
    <col min="1" max="1" width="27.77734375" customWidth="1"/>
    <col min="2" max="2" width="8.88671875" customWidth="1"/>
    <col min="5" max="5" width="15.88671875" customWidth="1"/>
  </cols>
  <sheetData>
    <row r="1" spans="1:6" ht="15" thickBot="1">
      <c r="A1" s="3"/>
      <c r="B1" s="3"/>
    </row>
    <row r="2" spans="1:6" ht="25.2" thickBot="1">
      <c r="A2" s="5" t="s">
        <v>57</v>
      </c>
      <c r="B2" s="6">
        <f>COUNTA(Tickets!A2:A21)</f>
        <v>20</v>
      </c>
      <c r="E2" s="18" t="s">
        <v>66</v>
      </c>
      <c r="F2" s="17">
        <f>COUNTIF(Tickets!I2:I21,"Breached")</f>
        <v>3</v>
      </c>
    </row>
    <row r="4" spans="1:6" ht="15" thickBot="1">
      <c r="A4" s="3"/>
      <c r="B4" s="3"/>
    </row>
    <row r="5" spans="1:6" ht="26.4" thickBot="1">
      <c r="A5" s="7" t="s">
        <v>58</v>
      </c>
      <c r="B5" s="8">
        <f>COUNTIF(Tickets!E2:E21,"Open")</f>
        <v>3</v>
      </c>
    </row>
    <row r="7" spans="1:6" ht="15" thickBot="1">
      <c r="A7" s="3"/>
      <c r="B7" s="3"/>
      <c r="D7" s="4"/>
    </row>
    <row r="8" spans="1:6" ht="26.4" thickBot="1">
      <c r="A8" s="9" t="s">
        <v>59</v>
      </c>
      <c r="B8" s="10">
        <f>COUNTIF(Tickets!E2:E21,"Closed")</f>
        <v>17</v>
      </c>
    </row>
    <row r="10" spans="1:6" ht="15" thickBot="1">
      <c r="A10" s="3"/>
      <c r="B10" s="3"/>
    </row>
    <row r="11" spans="1:6" ht="26.4" thickBot="1">
      <c r="A11" s="11" t="s">
        <v>60</v>
      </c>
      <c r="B11" s="12">
        <f>AVERAGE(Tickets!H2:H21)</f>
        <v>1.2352941176470589</v>
      </c>
    </row>
  </sheetData>
  <mergeCells count="4">
    <mergeCell ref="A1:B1"/>
    <mergeCell ref="A4:B4"/>
    <mergeCell ref="A7:B7"/>
    <mergeCell ref="A10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Tickets</vt:lpstr>
      <vt:lpstr>Issue Analysis</vt:lpstr>
      <vt:lpstr>Daily Volume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Madalina Teodorescu</dc:creator>
  <cp:lastModifiedBy>Madalina Teodorescu</cp:lastModifiedBy>
  <dcterms:created xsi:type="dcterms:W3CDTF">2015-06-05T18:17:20Z</dcterms:created>
  <dcterms:modified xsi:type="dcterms:W3CDTF">2026-06-19T12:43:27Z</dcterms:modified>
</cp:coreProperties>
</file>